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DBF5FFF-8713-4F81-8578-BEBDAA0CD029}" xr6:coauthVersionLast="47" xr6:coauthVersionMax="47" xr10:uidLastSave="{00000000-0000-0000-0000-000000000000}"/>
  <bookViews>
    <workbookView xWindow="11520" yWindow="180" windowWidth="11520" windowHeight="12180" xr2:uid="{32F4E6C0-4566-4035-9AEA-F3F7234B3439}"/>
  </bookViews>
  <sheets>
    <sheet name="Planilha1" sheetId="1" r:id="rId1"/>
    <sheet name="Planilha2" sheetId="2" r:id="rId2"/>
  </sheets>
  <definedNames>
    <definedName name="rendimento_carteira">Planilha1!$C$14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" l="1"/>
  <c r="D37" i="1" s="1"/>
  <c r="C38" i="1"/>
  <c r="D38" i="1" s="1"/>
  <c r="C39" i="1"/>
  <c r="D39" i="1" s="1"/>
  <c r="C40" i="1"/>
  <c r="D40" i="1" s="1"/>
  <c r="C41" i="1"/>
  <c r="C36" i="1"/>
  <c r="D36" i="1" s="1"/>
  <c r="A17" i="2"/>
  <c r="A18" i="2"/>
  <c r="A19" i="2"/>
  <c r="A20" i="2"/>
  <c r="A21" i="2"/>
  <c r="A16" i="2"/>
  <c r="A11" i="2"/>
  <c r="A12" i="2"/>
  <c r="A13" i="2"/>
  <c r="A14" i="2"/>
  <c r="A15" i="2"/>
  <c r="A10" i="2"/>
  <c r="A5" i="2"/>
  <c r="A6" i="2"/>
  <c r="A7" i="2"/>
  <c r="A8" i="2"/>
  <c r="A9" i="2"/>
  <c r="A4" i="2"/>
  <c r="C15" i="1"/>
  <c r="C26" i="1"/>
  <c r="D26" i="1" s="1"/>
  <c r="C27" i="1"/>
  <c r="D27" i="1" s="1"/>
  <c r="C28" i="1"/>
  <c r="D28" i="1" s="1"/>
  <c r="C29" i="1"/>
  <c r="D29" i="1" s="1"/>
  <c r="C25" i="1"/>
  <c r="D25" i="1" s="1"/>
  <c r="C21" i="1"/>
  <c r="C22" i="1" s="1"/>
  <c r="D41" i="1" l="1"/>
  <c r="D42" i="1" s="1"/>
</calcChain>
</file>

<file path=xl/sharedStrings.xml><?xml version="1.0" encoding="utf-8"?>
<sst xmlns="http://schemas.openxmlformats.org/spreadsheetml/2006/main" count="69" uniqueCount="33">
  <si>
    <t>Quanto investir por mês?</t>
  </si>
  <si>
    <t>Por quanto Anos?</t>
  </si>
  <si>
    <t>Taxa de Rendimento mensal?</t>
  </si>
  <si>
    <t>Patrimônio acumaldo?</t>
  </si>
  <si>
    <t>Dividendo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</si>
  <si>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</si>
  <si>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</si>
  <si>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</si>
  <si>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</si>
  <si>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</si>
  <si>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</si>
  <si>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</si>
  <si>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</t>
  </si>
  <si>
    <t>Rendimento Carteira</t>
  </si>
  <si>
    <t>Salário</t>
  </si>
  <si>
    <t>CONFIGURAÇÕES</t>
  </si>
  <si>
    <t>Moderado</t>
  </si>
  <si>
    <t>Conservador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</si>
  <si>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</si>
  <si>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</si>
  <si>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</si>
  <si>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</si>
  <si>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</si>
  <si>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</si>
  <si>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</si>
  <si>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HIBRÍDOS</t>
  </si>
  <si>
    <t>FOF´S</t>
  </si>
  <si>
    <t>DESENVOLVIMENTO</t>
  </si>
  <si>
    <t>HOTELARIAS</t>
  </si>
  <si>
    <t>Agressivo</t>
  </si>
  <si>
    <t>%</t>
  </si>
  <si>
    <t>CHAVE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</si>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</sst>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9" formatCode="&quot;R$&quot;\ #,##0.00"/>
    <numFmt numFmtId="171" formatCode="0.00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4" fillId="4" borderId="4" xfId="0" applyFont="1" applyFill="1" applyBorder="1"/>
    <xf numFmtId="0" fontId="4" fillId="4" borderId="6" xfId="0" applyFont="1" applyFill="1" applyBorder="1"/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4" fillId="0" borderId="10" xfId="0" applyFont="1" applyBorder="1"/>
    <xf numFmtId="0" fontId="5" fillId="4" borderId="10" xfId="0" applyFont="1" applyFill="1" applyBorder="1"/>
    <xf numFmtId="0" fontId="5" fillId="4" borderId="12" xfId="0" applyFont="1" applyFill="1" applyBorder="1"/>
    <xf numFmtId="10" fontId="1" fillId="0" borderId="11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8" fontId="1" fillId="4" borderId="11" xfId="0" applyNumberFormat="1" applyFont="1" applyFill="1" applyBorder="1" applyAlignment="1">
      <alignment horizontal="center"/>
    </xf>
    <xf numFmtId="169" fontId="1" fillId="0" borderId="11" xfId="0" applyNumberFormat="1" applyFont="1" applyBorder="1" applyAlignment="1">
      <alignment horizontal="center"/>
    </xf>
    <xf numFmtId="8" fontId="1" fillId="4" borderId="13" xfId="0" applyNumberFormat="1" applyFont="1" applyFill="1" applyBorder="1" applyAlignment="1">
      <alignment horizontal="center"/>
    </xf>
    <xf numFmtId="0" fontId="2" fillId="5" borderId="0" xfId="0" applyFont="1" applyFill="1"/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1" fontId="0" fillId="0" borderId="0" xfId="0" applyNumberFormat="1"/>
    <xf numFmtId="0" fontId="6" fillId="3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8" fontId="0" fillId="4" borderId="0" xfId="0" applyNumberFormat="1" applyFill="1" applyBorder="1" applyAlignment="1">
      <alignment horizontal="center"/>
    </xf>
    <xf numFmtId="8" fontId="0" fillId="4" borderId="15" xfId="0" applyNumberFormat="1" applyFill="1" applyBorder="1" applyAlignment="1">
      <alignment horizontal="center"/>
    </xf>
    <xf numFmtId="8" fontId="0" fillId="4" borderId="5" xfId="0" applyNumberFormat="1" applyFill="1" applyBorder="1" applyAlignment="1">
      <alignment horizontal="center"/>
    </xf>
    <xf numFmtId="8" fontId="0" fillId="4" borderId="7" xfId="0" applyNumberFormat="1" applyFill="1" applyBorder="1" applyAlignment="1">
      <alignment horizontal="center"/>
    </xf>
    <xf numFmtId="0" fontId="4" fillId="6" borderId="1" xfId="0" applyFont="1" applyFill="1" applyBorder="1"/>
    <xf numFmtId="0" fontId="3" fillId="3" borderId="2" xfId="0" applyFont="1" applyFill="1" applyBorder="1" applyAlignment="1">
      <alignment horizontal="center" vertical="top"/>
    </xf>
    <xf numFmtId="0" fontId="3" fillId="3" borderId="14" xfId="0" applyFont="1" applyFill="1" applyBorder="1" applyAlignment="1">
      <alignment horizontal="center" vertical="top"/>
    </xf>
    <xf numFmtId="0" fontId="4" fillId="7" borderId="0" xfId="0" applyFont="1" applyFill="1" applyBorder="1"/>
    <xf numFmtId="0" fontId="0" fillId="7" borderId="0" xfId="0" applyFill="1"/>
    <xf numFmtId="0" fontId="1" fillId="4" borderId="0" xfId="0" applyFont="1" applyFill="1"/>
    <xf numFmtId="0" fontId="1" fillId="8" borderId="0" xfId="0" applyFont="1" applyFill="1" applyAlignment="1">
      <alignment horizontal="center"/>
    </xf>
    <xf numFmtId="0" fontId="0" fillId="8" borderId="0" xfId="0" applyFill="1"/>
    <xf numFmtId="169" fontId="1" fillId="8" borderId="0" xfId="0" applyNumberFormat="1" applyFont="1" applyFill="1"/>
    <xf numFmtId="169" fontId="0" fillId="4" borderId="0" xfId="0" applyNumberFormat="1" applyFill="1"/>
    <xf numFmtId="0" fontId="0" fillId="0" borderId="0" xfId="0" applyBorder="1"/>
    <xf numFmtId="0" fontId="0" fillId="0" borderId="0" xfId="0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center"/>
    </xf>
    <xf numFmtId="9" fontId="0" fillId="0" borderId="15" xfId="0" applyNumberFormat="1" applyBorder="1" applyAlignment="1">
      <alignment horizontal="center"/>
    </xf>
    <xf numFmtId="16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7622</xdr:colOff>
      <xdr:row>0</xdr:row>
      <xdr:rowOff>0</xdr:rowOff>
    </xdr:from>
    <xdr:to>
      <xdr:col>3</xdr:col>
      <xdr:colOff>365226</xdr:colOff>
      <xdr:row>9</xdr:row>
      <xdr:rowOff>144780</xdr:rowOff>
    </xdr:to>
    <xdr:pic>
      <xdr:nvPicPr>
        <xdr:cNvPr id="2" name="Imagem 1" descr="Gráfico de velas azuis">
          <a:extLst>
            <a:ext uri="{FF2B5EF4-FFF2-40B4-BE49-F238E27FC236}">
              <a16:creationId xmlns:a16="http://schemas.microsoft.com/office/drawing/2014/main" id="{8B6A9EF6-34BF-69E5-D5FE-57D996C116A4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619" b="19619"/>
        <a:stretch/>
      </xdr:blipFill>
      <xdr:spPr>
        <a:xfrm>
          <a:off x="236222" y="0"/>
          <a:ext cx="4266664" cy="1790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A5B02-692A-4D9B-9ED1-C11592AA5BC5}">
  <dimension ref="A11:F42"/>
  <sheetViews>
    <sheetView tabSelected="1" topLeftCell="A19" workbookViewId="0">
      <selection activeCell="E22" sqref="E22"/>
    </sheetView>
  </sheetViews>
  <sheetFormatPr defaultColWidth="0" defaultRowHeight="14.4" x14ac:dyDescent="0.3"/>
  <cols>
    <col min="1" max="1" width="3.33203125" customWidth="1"/>
    <col min="2" max="2" width="33.6640625" bestFit="1" customWidth="1"/>
    <col min="3" max="3" width="23.33203125" bestFit="1" customWidth="1"/>
    <col min="4" max="4" width="11.77734375" bestFit="1" customWidth="1"/>
    <col min="5" max="5" width="21.5546875" bestFit="1" customWidth="1"/>
    <col min="6" max="6" width="10.5546875" bestFit="1" customWidth="1"/>
    <col min="7" max="8" width="8.88671875" customWidth="1"/>
    <col min="9" max="16384" width="8.88671875" hidden="1"/>
  </cols>
  <sheetData>
    <row r="11" spans="2:3" ht="15" thickBot="1" x14ac:dyDescent="0.35"/>
    <row r="12" spans="2:3" ht="18.600000000000001" thickBot="1" x14ac:dyDescent="0.35">
      <c r="B12" s="18" t="s">
        <v>15</v>
      </c>
      <c r="C12" s="18"/>
    </row>
    <row r="13" spans="2:3" ht="16.2" thickBot="1" x14ac:dyDescent="0.35">
      <c r="B13" s="25" t="s">
        <v>14</v>
      </c>
      <c r="C13" s="19">
        <v>4800</v>
      </c>
    </row>
    <row r="14" spans="2:3" ht="16.2" thickBot="1" x14ac:dyDescent="0.35">
      <c r="B14" s="25" t="s">
        <v>13</v>
      </c>
      <c r="C14" s="20">
        <v>8.9999999999999993E-3</v>
      </c>
    </row>
    <row r="15" spans="2:3" ht="16.2" thickBot="1" x14ac:dyDescent="0.35">
      <c r="B15" s="25" t="s">
        <v>32</v>
      </c>
      <c r="C15" s="19">
        <f>C13*30%</f>
        <v>1440</v>
      </c>
    </row>
    <row r="16" spans="2:3" ht="15" thickBot="1" x14ac:dyDescent="0.35"/>
    <row r="17" spans="1:6" ht="46.2" customHeight="1" x14ac:dyDescent="0.3">
      <c r="B17" s="3" t="s">
        <v>5</v>
      </c>
      <c r="C17" s="4"/>
    </row>
    <row r="18" spans="1:6" ht="15.6" x14ac:dyDescent="0.3">
      <c r="B18" s="5" t="s">
        <v>0</v>
      </c>
      <c r="C18" s="11">
        <v>500</v>
      </c>
    </row>
    <row r="19" spans="1:6" ht="15.6" x14ac:dyDescent="0.3">
      <c r="B19" s="5" t="s">
        <v>1</v>
      </c>
      <c r="C19" s="9">
        <v>5</v>
      </c>
    </row>
    <row r="20" spans="1:6" ht="15.6" x14ac:dyDescent="0.3">
      <c r="B20" s="5" t="s">
        <v>2</v>
      </c>
      <c r="C20" s="8">
        <v>1.0789999999999999E-2</v>
      </c>
    </row>
    <row r="21" spans="1:6" ht="15.6" x14ac:dyDescent="0.3">
      <c r="B21" s="6" t="s">
        <v>3</v>
      </c>
      <c r="C21" s="10">
        <f>FV(C20,C19*12,C18*-1)</f>
        <v>41888.456999243819</v>
      </c>
    </row>
    <row r="22" spans="1:6" ht="16.2" thickBot="1" x14ac:dyDescent="0.35">
      <c r="B22" s="7" t="s">
        <v>4</v>
      </c>
      <c r="C22" s="12">
        <f>C21*$C$14</f>
        <v>376.99611299319434</v>
      </c>
      <c r="F22" s="16"/>
    </row>
    <row r="23" spans="1:6" ht="15" thickBot="1" x14ac:dyDescent="0.35"/>
    <row r="24" spans="1:6" ht="25.8" x14ac:dyDescent="0.3">
      <c r="B24" s="26" t="s">
        <v>11</v>
      </c>
      <c r="C24" s="27"/>
      <c r="D24" s="17" t="s">
        <v>12</v>
      </c>
    </row>
    <row r="25" spans="1:6" ht="15.6" x14ac:dyDescent="0.3">
      <c r="A25" s="13">
        <v>2</v>
      </c>
      <c r="B25" s="1" t="s">
        <v>6</v>
      </c>
      <c r="C25" s="21">
        <f>FV($C$20,$A25*12,$C$18*-1)</f>
        <v>13613.813648822608</v>
      </c>
      <c r="D25" s="23">
        <f>C25*1%</f>
        <v>136.13813648822608</v>
      </c>
    </row>
    <row r="26" spans="1:6" ht="15.6" x14ac:dyDescent="0.3">
      <c r="A26" s="13">
        <v>5</v>
      </c>
      <c r="B26" s="1" t="s">
        <v>7</v>
      </c>
      <c r="C26" s="21">
        <f t="shared" ref="C26:C29" si="0">FV($C$20,$A26*12,$C$18*-1)</f>
        <v>41888.456999243819</v>
      </c>
      <c r="D26" s="23">
        <f t="shared" ref="D26:D29" si="1">C26*1%</f>
        <v>418.88456999243817</v>
      </c>
    </row>
    <row r="27" spans="1:6" ht="15.6" x14ac:dyDescent="0.3">
      <c r="A27" s="13">
        <v>10</v>
      </c>
      <c r="B27" s="1" t="s">
        <v>8</v>
      </c>
      <c r="C27" s="21">
        <f t="shared" si="0"/>
        <v>121642.1062650861</v>
      </c>
      <c r="D27" s="23">
        <f t="shared" si="1"/>
        <v>1216.4210626508609</v>
      </c>
    </row>
    <row r="28" spans="1:6" ht="15.6" x14ac:dyDescent="0.3">
      <c r="A28" s="13">
        <v>20</v>
      </c>
      <c r="B28" s="1" t="s">
        <v>9</v>
      </c>
      <c r="C28" s="21">
        <f t="shared" si="0"/>
        <v>562599.20004854025</v>
      </c>
      <c r="D28" s="23">
        <f t="shared" si="1"/>
        <v>5625.992000485403</v>
      </c>
    </row>
    <row r="29" spans="1:6" ht="16.2" thickBot="1" x14ac:dyDescent="0.35">
      <c r="A29" s="13">
        <v>30</v>
      </c>
      <c r="B29" s="2" t="s">
        <v>10</v>
      </c>
      <c r="C29" s="22">
        <f t="shared" si="0"/>
        <v>2161084.8275023573</v>
      </c>
      <c r="D29" s="24">
        <f t="shared" si="1"/>
        <v>21610.848275023574</v>
      </c>
    </row>
    <row r="32" spans="1:6" ht="15.6" x14ac:dyDescent="0.3">
      <c r="B32" s="28" t="s">
        <v>19</v>
      </c>
      <c r="C32" s="29" t="s">
        <v>17</v>
      </c>
    </row>
    <row r="33" spans="2:4" x14ac:dyDescent="0.3">
      <c r="B33" s="30" t="s">
        <v>18</v>
      </c>
      <c r="C33" s="41">
        <v>500</v>
      </c>
    </row>
    <row r="35" spans="2:4" x14ac:dyDescent="0.3">
      <c r="B35" s="31" t="s">
        <v>20</v>
      </c>
      <c r="C35" s="31" t="s">
        <v>21</v>
      </c>
      <c r="D35" s="31" t="s">
        <v>22</v>
      </c>
    </row>
    <row r="36" spans="2:4" x14ac:dyDescent="0.3">
      <c r="B36" s="15" t="s">
        <v>23</v>
      </c>
      <c r="C36" s="14">
        <f>VLOOKUP($C$32&amp;"-"&amp;B36,Planilha2!$A:$D,4,FALSE)</f>
        <v>0.3</v>
      </c>
      <c r="D36" s="34">
        <f>C36*$C$33</f>
        <v>150</v>
      </c>
    </row>
    <row r="37" spans="2:4" x14ac:dyDescent="0.3">
      <c r="B37" s="15" t="s">
        <v>24</v>
      </c>
      <c r="C37" s="14">
        <f>VLOOKUP($C$32&amp;"-"&amp;B37,Planilha2!$A:$D,4,FALSE)</f>
        <v>0.5</v>
      </c>
      <c r="D37" s="34">
        <f t="shared" ref="D37:D41" si="2">C37*$C$33</f>
        <v>250</v>
      </c>
    </row>
    <row r="38" spans="2:4" x14ac:dyDescent="0.3">
      <c r="B38" s="15" t="s">
        <v>25</v>
      </c>
      <c r="C38" s="14">
        <f>VLOOKUP($C$32&amp;"-"&amp;B38,Planilha2!$A:$D,4,FALSE)</f>
        <v>0.1</v>
      </c>
      <c r="D38" s="34">
        <f t="shared" si="2"/>
        <v>50</v>
      </c>
    </row>
    <row r="39" spans="2:4" x14ac:dyDescent="0.3">
      <c r="B39" s="15" t="s">
        <v>26</v>
      </c>
      <c r="C39" s="14">
        <f>VLOOKUP($C$32&amp;"-"&amp;B39,Planilha2!$A:$D,4,FALSE)</f>
        <v>0.1</v>
      </c>
      <c r="D39" s="34">
        <f t="shared" si="2"/>
        <v>50</v>
      </c>
    </row>
    <row r="40" spans="2:4" x14ac:dyDescent="0.3">
      <c r="B40" s="15" t="s">
        <v>27</v>
      </c>
      <c r="C40" s="14">
        <f>VLOOKUP($C$32&amp;"-"&amp;B40,Planilha2!$A:$D,4,FALSE)</f>
        <v>0</v>
      </c>
      <c r="D40" s="34">
        <f t="shared" si="2"/>
        <v>0</v>
      </c>
    </row>
    <row r="41" spans="2:4" x14ac:dyDescent="0.3">
      <c r="B41" s="15" t="s">
        <v>28</v>
      </c>
      <c r="C41" s="14">
        <f>VLOOKUP($C$32&amp;"-"&amp;B41,Planilha2!$A:$D,4,FALSE)</f>
        <v>0</v>
      </c>
      <c r="D41" s="34">
        <f t="shared" si="2"/>
        <v>0</v>
      </c>
    </row>
    <row r="42" spans="2:4" x14ac:dyDescent="0.3">
      <c r="B42" s="32"/>
      <c r="C42" s="32"/>
      <c r="D42" s="33">
        <f>SUM(D36:D41)</f>
        <v>500</v>
      </c>
    </row>
  </sheetData>
  <mergeCells count="3">
    <mergeCell ref="B17:C17"/>
    <mergeCell ref="B24:C24"/>
    <mergeCell ref="B12:C12"/>
  </mergeCells>
  <dataValidations count="1">
    <dataValidation type="list" allowBlank="1" showInputMessage="1" showErrorMessage="1" sqref="C32" xr:uid="{9DDC9DFB-E630-4AE8-A5AA-475D5324EEA7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428F5-01E2-49AE-820C-B9BD4AF02D54}">
  <dimension ref="A3:D21"/>
  <sheetViews>
    <sheetView workbookViewId="0">
      <selection activeCell="E13" sqref="E13"/>
    </sheetView>
  </sheetViews>
  <sheetFormatPr defaultRowHeight="14.4" x14ac:dyDescent="0.3"/>
  <cols>
    <col min="1" max="1" width="28.77734375" bestFit="1" customWidth="1"/>
    <col min="2" max="2" width="11.21875" bestFit="1" customWidth="1"/>
    <col min="3" max="3" width="17.6640625" bestFit="1" customWidth="1"/>
  </cols>
  <sheetData>
    <row r="3" spans="1:4" x14ac:dyDescent="0.3">
      <c r="A3" t="s">
        <v>31</v>
      </c>
      <c r="B3" t="s">
        <v>19</v>
      </c>
      <c r="C3" s="15" t="s">
        <v>20</v>
      </c>
      <c r="D3" s="15" t="s">
        <v>30</v>
      </c>
    </row>
    <row r="4" spans="1:4" x14ac:dyDescent="0.3">
      <c r="A4" s="35" t="str">
        <f>B4&amp;"-"&amp;C4</f>
        <v>Conservador-PAPEL</v>
      </c>
      <c r="B4" s="35" t="s">
        <v>17</v>
      </c>
      <c r="C4" s="36" t="s">
        <v>23</v>
      </c>
      <c r="D4" s="37">
        <v>0.3</v>
      </c>
    </row>
    <row r="5" spans="1:4" x14ac:dyDescent="0.3">
      <c r="A5" s="35" t="str">
        <f t="shared" ref="A5:A21" si="0">B5&amp;"-"&amp;C5</f>
        <v>Conservador-TIJOLO</v>
      </c>
      <c r="B5" s="35" t="s">
        <v>17</v>
      </c>
      <c r="C5" s="36" t="s">
        <v>24</v>
      </c>
      <c r="D5" s="37">
        <v>0.5</v>
      </c>
    </row>
    <row r="6" spans="1:4" x14ac:dyDescent="0.3">
      <c r="A6" s="35" t="str">
        <f t="shared" si="0"/>
        <v>Conservador-HIBRÍDOS</v>
      </c>
      <c r="B6" s="35" t="s">
        <v>17</v>
      </c>
      <c r="C6" s="36" t="s">
        <v>25</v>
      </c>
      <c r="D6" s="37">
        <v>0.1</v>
      </c>
    </row>
    <row r="7" spans="1:4" x14ac:dyDescent="0.3">
      <c r="A7" s="35" t="str">
        <f t="shared" si="0"/>
        <v>Conservador-FOF´S</v>
      </c>
      <c r="B7" s="35" t="s">
        <v>17</v>
      </c>
      <c r="C7" s="36" t="s">
        <v>26</v>
      </c>
      <c r="D7" s="37">
        <v>0.1</v>
      </c>
    </row>
    <row r="8" spans="1:4" x14ac:dyDescent="0.3">
      <c r="A8" s="35" t="str">
        <f t="shared" si="0"/>
        <v>Conservador-DESENVOLVIMENTO</v>
      </c>
      <c r="B8" s="35" t="s">
        <v>17</v>
      </c>
      <c r="C8" s="36" t="s">
        <v>27</v>
      </c>
      <c r="D8" s="37">
        <v>0</v>
      </c>
    </row>
    <row r="9" spans="1:4" ht="15" thickBot="1" x14ac:dyDescent="0.35">
      <c r="A9" s="38" t="str">
        <f t="shared" si="0"/>
        <v>Conservador-HOTELARIAS</v>
      </c>
      <c r="B9" s="38" t="s">
        <v>17</v>
      </c>
      <c r="C9" s="39" t="s">
        <v>28</v>
      </c>
      <c r="D9" s="40">
        <v>0</v>
      </c>
    </row>
    <row r="10" spans="1:4" x14ac:dyDescent="0.3">
      <c r="A10" s="35" t="str">
        <f t="shared" si="0"/>
        <v>Moderado-PAPEL</v>
      </c>
      <c r="B10" s="35" t="s">
        <v>16</v>
      </c>
      <c r="C10" s="36" t="s">
        <v>23</v>
      </c>
      <c r="D10" s="37">
        <v>0.35</v>
      </c>
    </row>
    <row r="11" spans="1:4" x14ac:dyDescent="0.3">
      <c r="A11" s="35" t="str">
        <f t="shared" si="0"/>
        <v>Moderado-TIJOLO</v>
      </c>
      <c r="B11" s="35" t="s">
        <v>16</v>
      </c>
      <c r="C11" s="36" t="s">
        <v>24</v>
      </c>
      <c r="D11" s="37">
        <v>0.4</v>
      </c>
    </row>
    <row r="12" spans="1:4" x14ac:dyDescent="0.3">
      <c r="A12" s="35" t="str">
        <f t="shared" si="0"/>
        <v>Moderado-HIBRÍDOS</v>
      </c>
      <c r="B12" s="35" t="s">
        <v>16</v>
      </c>
      <c r="C12" s="36" t="s">
        <v>25</v>
      </c>
      <c r="D12" s="37">
        <v>0.08</v>
      </c>
    </row>
    <row r="13" spans="1:4" x14ac:dyDescent="0.3">
      <c r="A13" s="35" t="str">
        <f t="shared" si="0"/>
        <v>Moderado-FOF´S</v>
      </c>
      <c r="B13" s="35" t="s">
        <v>16</v>
      </c>
      <c r="C13" s="36" t="s">
        <v>26</v>
      </c>
      <c r="D13" s="37">
        <v>0.05</v>
      </c>
    </row>
    <row r="14" spans="1:4" x14ac:dyDescent="0.3">
      <c r="A14" s="35" t="str">
        <f t="shared" si="0"/>
        <v>Moderado-DESENVOLVIMENTO</v>
      </c>
      <c r="B14" s="35" t="s">
        <v>16</v>
      </c>
      <c r="C14" s="36" t="s">
        <v>27</v>
      </c>
      <c r="D14" s="37">
        <v>0.1</v>
      </c>
    </row>
    <row r="15" spans="1:4" ht="15" thickBot="1" x14ac:dyDescent="0.35">
      <c r="A15" s="38" t="str">
        <f t="shared" si="0"/>
        <v>Moderado-HOTELARIAS</v>
      </c>
      <c r="B15" s="38" t="s">
        <v>16</v>
      </c>
      <c r="C15" s="39" t="s">
        <v>28</v>
      </c>
      <c r="D15" s="40">
        <v>0.1</v>
      </c>
    </row>
    <row r="16" spans="1:4" x14ac:dyDescent="0.3">
      <c r="A16" t="str">
        <f t="shared" si="0"/>
        <v>Agressivo-PAPEL</v>
      </c>
      <c r="B16" t="s">
        <v>29</v>
      </c>
      <c r="C16" s="15" t="s">
        <v>23</v>
      </c>
      <c r="D16" s="14">
        <v>0.5</v>
      </c>
    </row>
    <row r="17" spans="1:4" x14ac:dyDescent="0.3">
      <c r="A17" t="str">
        <f t="shared" si="0"/>
        <v>Agressivo-TIJOLO</v>
      </c>
      <c r="B17" t="s">
        <v>29</v>
      </c>
      <c r="C17" s="15" t="s">
        <v>24</v>
      </c>
      <c r="D17" s="14">
        <v>0.1</v>
      </c>
    </row>
    <row r="18" spans="1:4" x14ac:dyDescent="0.3">
      <c r="A18" t="str">
        <f t="shared" si="0"/>
        <v>Agressivo-HIBRÍDOS</v>
      </c>
      <c r="B18" t="s">
        <v>29</v>
      </c>
      <c r="C18" s="15" t="s">
        <v>25</v>
      </c>
      <c r="D18" s="14">
        <v>0.05</v>
      </c>
    </row>
    <row r="19" spans="1:4" x14ac:dyDescent="0.3">
      <c r="A19" t="str">
        <f t="shared" si="0"/>
        <v>Agressivo-FOF´S</v>
      </c>
      <c r="B19" t="s">
        <v>29</v>
      </c>
      <c r="C19" s="15" t="s">
        <v>26</v>
      </c>
      <c r="D19" s="14">
        <v>0.05</v>
      </c>
    </row>
    <row r="20" spans="1:4" x14ac:dyDescent="0.3">
      <c r="A20" t="str">
        <f t="shared" si="0"/>
        <v>Agressivo-DESENVOLVIMENTO</v>
      </c>
      <c r="B20" t="s">
        <v>29</v>
      </c>
      <c r="C20" s="15" t="s">
        <v>27</v>
      </c>
      <c r="D20" s="14">
        <v>0.2</v>
      </c>
    </row>
    <row r="21" spans="1:4" x14ac:dyDescent="0.3">
      <c r="A21" t="str">
        <f t="shared" si="0"/>
        <v>Agressivo-HOTELARIAS</v>
      </c>
      <c r="B21" t="s">
        <v>29</v>
      </c>
      <c r="C21" s="15" t="s">
        <v>28</v>
      </c>
      <c r="D21" s="14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Planilha1</vt:lpstr>
      <vt:lpstr>Planilha2</vt:lpstr>
      <vt:lpstr>rendimento_carteira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Albertti Carvalho</dc:creator>
  <cp:lastModifiedBy>Albertti Carvalho</cp:lastModifiedBy>
  <dcterms:created xsi:type="dcterms:W3CDTF">2026-01-14T22:36:23Z</dcterms:created>
  <dcterms:modified xsi:type="dcterms:W3CDTF">2026-01-15T23:54:31Z</dcterms:modified>
</cp:coreProperties>
</file>